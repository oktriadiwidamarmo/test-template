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📖" sheetId="1" state="visible" r:id="rId3"/>
    <sheet name="Pengaturan" sheetId="2" state="visible" r:id="rId4"/>
    <sheet name="Akun" sheetId="3" state="visible" r:id="rId5"/>
    <sheet name="Kategori Pendapatan" sheetId="4" state="visible" r:id="rId6"/>
    <sheet name="Kategori Pengeluaran &amp; Anggaran" sheetId="5" state="visible" r:id="rId7"/>
    <sheet name="Transaksi" sheetId="6" state="visible" r:id="rId8"/>
    <sheet name="Input Anggaran" sheetId="7" state="visible" r:id="rId9"/>
    <sheet name="Settings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<sst xmlns="http://schemas.openxmlformats.org/spreadsheetml/2006/main" count="147" uniqueCount="102">
  <si>
    <t xml:space="preserve">🌿 FINTRA BUDGET — Panduan Penggunaan</t>
  </si>
  <si>
    <t xml:space="preserve">Template keuangan modern yang terhubung langsung dengan website budget.fintra.id</t>
  </si>
  <si>
    <t xml:space="preserve">🚀 SETUP AWAL (Sekali Saja)</t>
  </si>
  <si>
    <t xml:space="preserve">Langkah 1</t>
  </si>
  <si>
    <t xml:space="preserve">Buka menu Ekstensi → Apps Script di Google Sheets.</t>
  </si>
  <si>
    <t xml:space="preserve">Langkah 2</t>
  </si>
  <si>
    <t xml:space="preserve">Tempel seluruh isi file Code.gs yang disediakan ke editor.</t>
  </si>
  <si>
    <t xml:space="preserve">Langkah 3</t>
  </si>
  <si>
    <t xml:space="preserve">Klik Deploy → New Deployment → pilih tipe "Web app".</t>
  </si>
  <si>
    <t xml:space="preserve">Langkah 4</t>
  </si>
  <si>
    <t xml:space="preserve">Set "Execute as: Me" dan "Who has access: Anyone". Klik Deploy.</t>
  </si>
  <si>
    <t xml:space="preserve">Langkah 5</t>
  </si>
  <si>
    <t xml:space="preserve">Izinkan akses saat diminta. Salin URL Web App yang muncul.</t>
  </si>
  <si>
    <t xml:space="preserve">Langkah 6</t>
  </si>
  <si>
    <t xml:space="preserve">Buka file index.html → tempel URL ke const API_URL = '...'.</t>
  </si>
  <si>
    <t xml:space="preserve">Langkah 7</t>
  </si>
  <si>
    <t xml:space="preserve">Upload index.html ke Vercel/hosting → akses via budget.fintra.id.</t>
  </si>
  <si>
    <t xml:space="preserve">✍️ PENGATURAN SPREADSHEET</t>
  </si>
  <si>
    <t xml:space="preserve">Mata Uang</t>
  </si>
  <si>
    <t xml:space="preserve">Ubah di sheet Pengaturan → sel C2 (default: IDR / Rp)</t>
  </si>
  <si>
    <t xml:space="preserve">Akun</t>
  </si>
  <si>
    <t xml:space="preserve">Tambah/ubah nama akun di sheet Akun → kolom C</t>
  </si>
  <si>
    <t xml:space="preserve">Kategori Pendapatan</t>
  </si>
  <si>
    <t xml:space="preserve">Tambah di sheet Kategori Pendapatan → kolom C</t>
  </si>
  <si>
    <t xml:space="preserve">Kategori Pengeluaran</t>
  </si>
  <si>
    <t xml:space="preserve">Tambah di sheet Kategori Pengeluaran &amp; Anggaran → kolom C</t>
  </si>
  <si>
    <t xml:space="preserve">Anggaran Bulanan</t>
  </si>
  <si>
    <t xml:space="preserve">Set anggaran per kategori di kolom D sheet yang sama</t>
  </si>
  <si>
    <t xml:space="preserve">⚠️ JANGAN DIUBAH</t>
  </si>
  <si>
    <t xml:space="preserve">Nama sheet tidak boleh diganti — dipakai oleh Apps Script &amp; website.</t>
  </si>
  <si>
    <t xml:space="preserve">⚙️ Pengaturan Fintra Budget</t>
  </si>
  <si>
    <t xml:space="preserve">IDR</t>
  </si>
  <si>
    <t xml:space="preserve">Kode mata uang (IDR, USD, dll)</t>
  </si>
  <si>
    <t xml:space="preserve">Simbol</t>
  </si>
  <si>
    <t xml:space="preserve">Rp</t>
  </si>
  <si>
    <t xml:space="preserve">Simbol yang tampil di laporan</t>
  </si>
  <si>
    <t xml:space="preserve">Periode Pencatatan</t>
  </si>
  <si>
    <t xml:space="preserve">Bulan Pertama</t>
  </si>
  <si>
    <t xml:space="preserve">2026-01-01</t>
  </si>
  <si>
    <t xml:space="preserve">Format: YYYY-MM-DD</t>
  </si>
  <si>
    <t xml:space="preserve">Bulan Terakhir</t>
  </si>
  <si>
    <t xml:space="preserve">2026-12-31</t>
  </si>
  <si>
    <t xml:space="preserve">🏦 Daftar Akun</t>
  </si>
  <si>
    <t xml:space="preserve">No</t>
  </si>
  <si>
    <t xml:space="preserve">Nama Akun</t>
  </si>
  <si>
    <t xml:space="preserve">Saldo Awal (Rp)</t>
  </si>
  <si>
    <t xml:space="preserve">Saldo Saat Ini (Rp)</t>
  </si>
  <si>
    <t xml:space="preserve">Catatan</t>
  </si>
  <si>
    <t xml:space="preserve">Rekening Bank</t>
  </si>
  <si>
    <t xml:space="preserve">Rekening utama</t>
  </si>
  <si>
    <t xml:space="preserve">Tabungan</t>
  </si>
  <si>
    <t xml:space="preserve">Kartu Kredit</t>
  </si>
  <si>
    <t xml:space="preserve">Uang Tunai</t>
  </si>
  <si>
    <t xml:space="preserve">TOTAL</t>
  </si>
  <si>
    <t xml:space="preserve">💰 Kategori Pendapatan</t>
  </si>
  <si>
    <t xml:space="preserve">Kategori</t>
  </si>
  <si>
    <t xml:space="preserve">Total Bulan Ini (Rp)</t>
  </si>
  <si>
    <t xml:space="preserve">Total Tahunan (Rp)</t>
  </si>
  <si>
    <t xml:space="preserve">Gaji</t>
  </si>
  <si>
    <t xml:space="preserve">Sampingan</t>
  </si>
  <si>
    <t xml:space="preserve">Bunga</t>
  </si>
  <si>
    <t xml:space="preserve">Bonus</t>
  </si>
  <si>
    <t xml:space="preserve">Investasi</t>
  </si>
  <si>
    <t xml:space="preserve">Lain-Lain</t>
  </si>
  <si>
    <t xml:space="preserve">💸 Kategori Pengeluaran &amp; Anggaran Bulanan</t>
  </si>
  <si>
    <t xml:space="preserve">Anggaran Bulanan (Rp)</t>
  </si>
  <si>
    <t xml:space="preserve">Terpakai (Rp)</t>
  </si>
  <si>
    <t xml:space="preserve">Sisa (Rp)</t>
  </si>
  <si>
    <t xml:space="preserve">% Terpakai</t>
  </si>
  <si>
    <t xml:space="preserve">Kos / Cicilan Rumah</t>
  </si>
  <si>
    <t xml:space="preserve">Belanja Bulanan</t>
  </si>
  <si>
    <t xml:space="preserve">Makan di Luar</t>
  </si>
  <si>
    <t xml:space="preserve">Tagihan Rutin</t>
  </si>
  <si>
    <t xml:space="preserve">Internet &amp; Pulsa</t>
  </si>
  <si>
    <t xml:space="preserve">Transportasi</t>
  </si>
  <si>
    <t xml:space="preserve">Langganan &amp; Streaming</t>
  </si>
  <si>
    <t xml:space="preserve">Kesehatan &amp; Olahraga</t>
  </si>
  <si>
    <t xml:space="preserve">Hiburan</t>
  </si>
  <si>
    <t xml:space="preserve">Belanja &amp; Perawatan Diri</t>
  </si>
  <si>
    <t xml:space="preserve">Traveling</t>
  </si>
  <si>
    <t xml:space="preserve">Utilitas</t>
  </si>
  <si>
    <t xml:space="preserve">📋 Data Transaksi — Diisi otomatis via website atau Apps Script</t>
  </si>
  <si>
    <t xml:space="preserve">Tanggal</t>
  </si>
  <si>
    <t xml:space="preserve">Keterangan</t>
  </si>
  <si>
    <t xml:space="preserve">Jumlah (Rp)</t>
  </si>
  <si>
    <t xml:space="preserve">Tipe</t>
  </si>
  <si>
    <t xml:space="preserve">2026-04-10</t>
  </si>
  <si>
    <t xml:space="preserve">Gaji April</t>
  </si>
  <si>
    <t xml:space="preserve">Pendapatan</t>
  </si>
  <si>
    <t xml:space="preserve">Bayar kos</t>
  </si>
  <si>
    <t xml:space="preserve">Pengeluaran</t>
  </si>
  <si>
    <t xml:space="preserve">2026-04-11</t>
  </si>
  <si>
    <t xml:space="preserve">Makan siang</t>
  </si>
  <si>
    <t xml:space="preserve">⬆️  Data di atas adalah contoh. Hapus dan mulai input via website budget.fintra.id</t>
  </si>
  <si>
    <t xml:space="preserve">🎯 Input Anggaran — Diisi otomatis via website</t>
  </si>
  <si>
    <t xml:space="preserve">Tanggal Input</t>
  </si>
  <si>
    <t xml:space="preserve">Tahun</t>
  </si>
  <si>
    <t xml:space="preserve">Bulan</t>
  </si>
  <si>
    <t xml:space="preserve">Timestamp</t>
  </si>
  <si>
    <t xml:space="preserve">⬆️  Contoh data anggaran. Gunakan tab Atur Anggaran di website untuk menambah.</t>
  </si>
  <si>
    <t xml:space="preserve">Settings — Jangan diubah manual</t>
  </si>
  <si>
    <t xml:space="preserve">Kategori Transaksi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</si>
</sst>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;\(#,##0\)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C1F13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3828"/>
      <name val="Arial"/>
      <family val="0"/>
      <charset val="1"/>
    </font>
    <font>
      <sz val="9"/>
      <color rgb="FF1A2E1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828"/>
      <name val="Arial"/>
      <family val="0"/>
      <charset val="1"/>
    </font>
    <font>
      <sz val="10"/>
      <color rgb="FF1A2E1C"/>
      <name val="Arial"/>
      <family val="0"/>
      <charset val="1"/>
    </font>
    <font>
      <i val="true"/>
      <sz val="9"/>
      <color rgb="FF5E7A5A"/>
      <name val="Arial"/>
      <family val="0"/>
      <charset val="1"/>
    </font>
    <font>
      <sz val="9"/>
      <color rgb="FF5E7A5A"/>
      <name val="Arial"/>
      <family val="0"/>
      <charset val="1"/>
    </font>
    <font>
      <b val="true"/>
      <sz val="10"/>
      <color rgb="FF1A2E1C"/>
      <name val="Arial"/>
      <family val="0"/>
      <charset val="1"/>
    </font>
    <font>
      <sz val="10"/>
      <color rgb="FF1A3828"/>
      <name val="Arial"/>
      <family val="0"/>
      <charset val="1"/>
    </font>
    <font>
      <b val="true"/>
      <sz val="10"/>
      <color rgb="FF2E6B4A"/>
      <name val="Arial"/>
      <family val="0"/>
      <charset val="1"/>
    </font>
    <font>
      <sz val="9"/>
      <color rgb="FF2E6B4A"/>
      <name val="Arial"/>
      <family val="0"/>
      <charset val="1"/>
    </font>
    <font>
      <b val="true"/>
      <sz val="10"/>
      <color rgb="FFE05252"/>
      <name val="Arial"/>
      <family val="0"/>
      <charset val="1"/>
    </font>
    <font>
      <sz val="9"/>
      <color rgb="FFE05252"/>
      <name val="Arial"/>
      <family val="0"/>
      <charset val="1"/>
    </font>
    <font>
      <i val="true"/>
      <sz val="9"/>
      <color rgb="FF1A382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828"/>
        <bgColor rgb="FF1A2E1C"/>
      </patternFill>
    </fill>
    <fill>
      <patternFill patternType="solid">
        <fgColor rgb="FF24523A"/>
        <bgColor rgb="FF2E6B4A"/>
      </patternFill>
    </fill>
    <fill>
      <patternFill patternType="solid">
        <fgColor rgb="FF2E6B4A"/>
        <bgColor rgb="FF24523A"/>
      </patternFill>
    </fill>
    <fill>
      <patternFill patternType="solid">
        <fgColor rgb="FFEEF2EC"/>
        <bgColor rgb="FFF7F9F5"/>
      </patternFill>
    </fill>
    <fill>
      <patternFill patternType="solid">
        <fgColor rgb="FFFFFFFF"/>
        <bgColor rgb="FFF7F9F5"/>
      </patternFill>
    </fill>
    <fill>
      <patternFill patternType="solid">
        <fgColor rgb="FFF7F9F5"/>
        <bgColor rgb="FFFFFFFF"/>
      </patternFill>
    </fill>
    <fill>
      <patternFill patternType="solid">
        <fgColor rgb="FFC1F135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DD3"/>
      </left>
      <right style="thin">
        <color rgb="FFD6DDD3"/>
      </right>
      <top style="thin">
        <color rgb="FFD6DDD3"/>
      </top>
      <bottom style="thin">
        <color rgb="FFD6DDD3"/>
      </bottom>
      <diagonal/>
    </border>
    <border diagonalUp="false" diagonalDown="false">
      <left/>
      <right/>
      <top/>
      <bottom style="thin">
        <color rgb="FFD6D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C1F135"/>
      <rgbColor rgb="FFFF00FF"/>
      <rgbColor rgb="FF00FFFF"/>
      <rgbColor rgb="FF800000"/>
      <rgbColor rgb="FF008000"/>
      <rgbColor rgb="FF000080"/>
      <rgbColor rgb="FF808000"/>
      <rgbColor rgb="FF800080"/>
      <rgbColor rgb="FF2E6B4A"/>
      <rgbColor rgb="FFC0C0C0"/>
      <rgbColor rgb="FF5E7A5A"/>
      <rgbColor rgb="FF9999FF"/>
      <rgbColor rgb="FF993366"/>
      <rgbColor rgb="FFF7F9F5"/>
      <rgbColor rgb="FFEEF2EC"/>
      <rgbColor rgb="FF660066"/>
      <rgbColor rgb="FFFF8080"/>
      <rgbColor rgb="FF0066CC"/>
      <rgbColor rgb="FFD6DD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DC420"/>
      <rgbColor rgb="FFFFCC00"/>
      <rgbColor rgb="FFF9A825"/>
      <rgbColor rgb="FFE05252"/>
      <rgbColor rgb="FF666699"/>
      <rgbColor rgb="FF969696"/>
      <rgbColor rgb="FF24523A"/>
      <rgbColor rgb="FF339966"/>
      <rgbColor rgb="FF003300"/>
      <rgbColor rgb="FF1A2E1C"/>
      <rgbColor rgb="FF993300"/>
      <rgbColor rgb="FF993366"/>
      <rgbColor rgb="FF333399"/>
      <rgbColor rgb="FF1A38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828"/>
    <pageSetUpPr fitToPage="false"/>
  </sheetPr>
  <dimension ref="B2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8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6" customFormat="false" ht="24" hidden="false" customHeight="true" outlineLevel="0" collapsed="false">
      <c r="B6" s="3" t="s">
        <v>2</v>
      </c>
      <c r="C6" s="3"/>
      <c r="D6" s="3"/>
      <c r="E6" s="3"/>
      <c r="F6" s="3"/>
      <c r="G6" s="3"/>
      <c r="H6" s="3"/>
    </row>
    <row r="8" customFormat="false" ht="18" hidden="false" customHeight="true" outlineLevel="0" collapsed="false">
      <c r="B8" s="4" t="s">
        <v>3</v>
      </c>
      <c r="C8" s="5" t="s">
        <v>4</v>
      </c>
      <c r="D8" s="5"/>
      <c r="E8" s="5"/>
      <c r="F8" s="5"/>
      <c r="G8" s="5"/>
      <c r="H8" s="5"/>
    </row>
    <row r="9" customFormat="false" ht="18" hidden="false" customHeight="true" outlineLevel="0" collapsed="false">
      <c r="B9" s="4" t="s">
        <v>5</v>
      </c>
      <c r="C9" s="5" t="s">
        <v>6</v>
      </c>
      <c r="D9" s="5"/>
      <c r="E9" s="5"/>
      <c r="F9" s="5"/>
      <c r="G9" s="5"/>
      <c r="H9" s="5"/>
    </row>
    <row r="10" customFormat="false" ht="18" hidden="false" customHeight="true" outlineLevel="0" collapsed="false">
      <c r="B10" s="4" t="s">
        <v>7</v>
      </c>
      <c r="C10" s="5" t="s">
        <v>8</v>
      </c>
      <c r="D10" s="5"/>
      <c r="E10" s="5"/>
      <c r="F10" s="5"/>
      <c r="G10" s="5"/>
      <c r="H10" s="5"/>
    </row>
    <row r="11" customFormat="false" ht="18" hidden="false" customHeight="true" outlineLevel="0" collapsed="false">
      <c r="B11" s="4" t="s">
        <v>9</v>
      </c>
      <c r="C11" s="5" t="s">
        <v>10</v>
      </c>
      <c r="D11" s="5"/>
      <c r="E11" s="5"/>
      <c r="F11" s="5"/>
      <c r="G11" s="5"/>
      <c r="H11" s="5"/>
    </row>
    <row r="12" customFormat="false" ht="18" hidden="false" customHeight="true" outlineLevel="0" collapsed="false">
      <c r="B12" s="4" t="s">
        <v>11</v>
      </c>
      <c r="C12" s="5" t="s">
        <v>12</v>
      </c>
      <c r="D12" s="5"/>
      <c r="E12" s="5"/>
      <c r="F12" s="5"/>
      <c r="G12" s="5"/>
      <c r="H12" s="5"/>
    </row>
    <row r="13" customFormat="false" ht="18" hidden="false" customHeight="true" outlineLevel="0" collapsed="false">
      <c r="B13" s="4" t="s">
        <v>13</v>
      </c>
      <c r="C13" s="5" t="s">
        <v>14</v>
      </c>
      <c r="D13" s="5"/>
      <c r="E13" s="5"/>
      <c r="F13" s="5"/>
      <c r="G13" s="5"/>
      <c r="H13" s="5"/>
    </row>
    <row r="14" customFormat="false" ht="18" hidden="false" customHeight="true" outlineLevel="0" collapsed="false">
      <c r="B14" s="4" t="s">
        <v>15</v>
      </c>
      <c r="C14" s="5" t="s">
        <v>16</v>
      </c>
      <c r="D14" s="5"/>
      <c r="E14" s="5"/>
      <c r="F14" s="5"/>
      <c r="G14" s="5"/>
      <c r="H14" s="5"/>
    </row>
    <row r="16" customFormat="false" ht="24" hidden="false" customHeight="true" outlineLevel="0" collapsed="false">
      <c r="B16" s="3" t="s">
        <v>17</v>
      </c>
      <c r="C16" s="3"/>
      <c r="D16" s="3"/>
      <c r="E16" s="3"/>
      <c r="F16" s="3"/>
      <c r="G16" s="3"/>
      <c r="H16" s="3"/>
    </row>
    <row r="18" customFormat="false" ht="18" hidden="false" customHeight="true" outlineLevel="0" collapsed="false">
      <c r="B18" s="4" t="s">
        <v>18</v>
      </c>
      <c r="C18" s="5" t="s">
        <v>19</v>
      </c>
      <c r="D18" s="5"/>
      <c r="E18" s="5"/>
      <c r="F18" s="5"/>
      <c r="G18" s="5"/>
      <c r="H18" s="5"/>
    </row>
    <row r="19" customFormat="false" ht="18" hidden="false" customHeight="true" outlineLevel="0" collapsed="false">
      <c r="B19" s="4" t="s">
        <v>20</v>
      </c>
      <c r="C19" s="5" t="s">
        <v>21</v>
      </c>
      <c r="D19" s="5"/>
      <c r="E19" s="5"/>
      <c r="F19" s="5"/>
      <c r="G19" s="5"/>
      <c r="H19" s="5"/>
    </row>
    <row r="20" customFormat="false" ht="18" hidden="false" customHeight="true" outlineLevel="0" collapsed="false">
      <c r="B20" s="4" t="s">
        <v>22</v>
      </c>
      <c r="C20" s="5" t="s">
        <v>23</v>
      </c>
      <c r="D20" s="5"/>
      <c r="E20" s="5"/>
      <c r="F20" s="5"/>
      <c r="G20" s="5"/>
      <c r="H20" s="5"/>
    </row>
    <row r="21" customFormat="false" ht="18" hidden="false" customHeight="true" outlineLevel="0" collapsed="false">
      <c r="B21" s="4" t="s">
        <v>24</v>
      </c>
      <c r="C21" s="5" t="s">
        <v>25</v>
      </c>
      <c r="D21" s="5"/>
      <c r="E21" s="5"/>
      <c r="F21" s="5"/>
      <c r="G21" s="5"/>
      <c r="H21" s="5"/>
    </row>
    <row r="22" customFormat="false" ht="18" hidden="false" customHeight="true" outlineLevel="0" collapsed="false">
      <c r="B22" s="4" t="s">
        <v>26</v>
      </c>
      <c r="C22" s="5" t="s">
        <v>27</v>
      </c>
      <c r="D22" s="5"/>
      <c r="E22" s="5"/>
      <c r="F22" s="5"/>
      <c r="G22" s="5"/>
      <c r="H22" s="5"/>
    </row>
    <row r="24" customFormat="false" ht="18" hidden="false" customHeight="true" outlineLevel="0" collapsed="false">
      <c r="B24" s="4" t="s">
        <v>28</v>
      </c>
      <c r="C24" s="5" t="s">
        <v>29</v>
      </c>
      <c r="D24" s="5"/>
      <c r="E24" s="5"/>
      <c r="F24" s="5"/>
      <c r="G24" s="5"/>
      <c r="H24" s="5"/>
    </row>
  </sheetData>
  <mergeCells count="17">
    <mergeCell ref="B2:H2"/>
    <mergeCell ref="B3:H3"/>
    <mergeCell ref="B6:H6"/>
    <mergeCell ref="C8:H8"/>
    <mergeCell ref="C9:H9"/>
    <mergeCell ref="C10:H10"/>
    <mergeCell ref="C11:H11"/>
    <mergeCell ref="C12:H12"/>
    <mergeCell ref="C13:H13"/>
    <mergeCell ref="C14:H14"/>
    <mergeCell ref="B16:H16"/>
    <mergeCell ref="C18:H18"/>
    <mergeCell ref="C19:H19"/>
    <mergeCell ref="C20:H20"/>
    <mergeCell ref="C21:H21"/>
    <mergeCell ref="C22:H22"/>
    <mergeCell ref="C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23A"/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2"/>
  </cols>
  <sheetData>
    <row r="2" customFormat="false" ht="27.75" hidden="false" customHeight="true" outlineLevel="0" collapsed="false">
      <c r="B2" s="6" t="s">
        <v>30</v>
      </c>
      <c r="C2" s="6"/>
      <c r="D2" s="6"/>
      <c r="E2" s="6"/>
      <c r="F2" s="6"/>
    </row>
    <row r="4" customFormat="false" ht="15" hidden="false" customHeight="false" outlineLevel="0" collapsed="false">
      <c r="B4" s="7" t="s">
        <v>18</v>
      </c>
      <c r="C4" s="8" t="s">
        <v>31</v>
      </c>
      <c r="D4" s="9" t="s">
        <v>32</v>
      </c>
    </row>
    <row r="5" customFormat="false" ht="15" hidden="false" customHeight="false" outlineLevel="0" collapsed="false">
      <c r="B5" s="7" t="s">
        <v>33</v>
      </c>
      <c r="C5" s="8" t="s">
        <v>34</v>
      </c>
      <c r="D5" s="9" t="s">
        <v>35</v>
      </c>
    </row>
    <row r="7" customFormat="false" ht="15" hidden="false" customHeight="false" outlineLevel="0" collapsed="false">
      <c r="B7" s="7" t="s">
        <v>36</v>
      </c>
    </row>
    <row r="8" customFormat="false" ht="15" hidden="false" customHeight="false" outlineLevel="0" collapsed="false">
      <c r="B8" s="7" t="s">
        <v>37</v>
      </c>
      <c r="C8" s="8" t="s">
        <v>38</v>
      </c>
      <c r="D8" s="9" t="s">
        <v>39</v>
      </c>
    </row>
    <row r="9" customFormat="false" ht="15" hidden="false" customHeight="false" outlineLevel="0" collapsed="false">
      <c r="B9" s="7" t="s">
        <v>40</v>
      </c>
      <c r="C9" s="8" t="s">
        <v>41</v>
      </c>
      <c r="D9" s="9" t="s">
        <v>39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B4A"/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26"/>
  </cols>
  <sheetData>
    <row r="2" customFormat="false" ht="27.75" hidden="false" customHeight="true" outlineLevel="0" collapsed="false">
      <c r="B2" s="6" t="s">
        <v>42</v>
      </c>
      <c r="C2" s="6"/>
      <c r="D2" s="6"/>
      <c r="E2" s="6"/>
      <c r="F2" s="6"/>
    </row>
    <row r="4" customFormat="false" ht="24" hidden="false" customHeight="true" outlineLevel="0" collapsed="false"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</row>
    <row r="5" customFormat="false" ht="19.5" hidden="false" customHeight="true" outlineLevel="0" collapsed="false">
      <c r="B5" s="11" t="n">
        <v>1</v>
      </c>
      <c r="C5" s="12" t="s">
        <v>48</v>
      </c>
      <c r="D5" s="13" t="n">
        <v>0</v>
      </c>
      <c r="E5" s="14" t="n">
        <f aca="false">D5+SUMIF(Transaksi!I:I,C5,Transaksi!E:E)</f>
        <v>7400000</v>
      </c>
      <c r="F5" s="15" t="s">
        <v>49</v>
      </c>
    </row>
    <row r="6" customFormat="false" ht="19.5" hidden="false" customHeight="true" outlineLevel="0" collapsed="false">
      <c r="B6" s="16" t="n">
        <v>2</v>
      </c>
      <c r="C6" s="17" t="s">
        <v>50</v>
      </c>
      <c r="D6" s="18" t="n">
        <v>0</v>
      </c>
      <c r="E6" s="19" t="n">
        <f aca="false">D6+SUMIF(Transaksi!I:I,C6,Transaksi!E:E)</f>
        <v>0</v>
      </c>
      <c r="F6" s="20"/>
    </row>
    <row r="7" customFormat="false" ht="19.5" hidden="false" customHeight="true" outlineLevel="0" collapsed="false">
      <c r="B7" s="11" t="n">
        <v>3</v>
      </c>
      <c r="C7" s="12" t="s">
        <v>51</v>
      </c>
      <c r="D7" s="13" t="n">
        <v>0</v>
      </c>
      <c r="E7" s="14" t="n">
        <f aca="false">D7+SUMIF(Transaksi!I:I,C7,Transaksi!E:E)</f>
        <v>0</v>
      </c>
      <c r="F7" s="15"/>
    </row>
    <row r="8" customFormat="false" ht="19.5" hidden="false" customHeight="true" outlineLevel="0" collapsed="false">
      <c r="B8" s="16" t="n">
        <v>4</v>
      </c>
      <c r="C8" s="17" t="s">
        <v>52</v>
      </c>
      <c r="D8" s="18" t="n">
        <v>0</v>
      </c>
      <c r="E8" s="19" t="n">
        <f aca="false">D8+SUMIF(Transaksi!I:I,C8,Transaksi!E:E)</f>
        <v>-45000</v>
      </c>
      <c r="F8" s="20"/>
    </row>
    <row r="9" customFormat="false" ht="24" hidden="false" customHeight="true" outlineLevel="0" collapsed="false">
      <c r="B9" s="21"/>
      <c r="C9" s="22" t="s">
        <v>53</v>
      </c>
      <c r="D9" s="22" t="n">
        <f aca="false">SUM(D5:D8)</f>
        <v>0</v>
      </c>
      <c r="E9" s="22" t="n">
        <f aca="false">SUM(E5:E8)</f>
        <v>7355000</v>
      </c>
      <c r="F9" s="21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420"/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5" min="4" style="0" width="24"/>
  </cols>
  <sheetData>
    <row r="2" customFormat="false" ht="27.75" hidden="false" customHeight="true" outlineLevel="0" collapsed="false">
      <c r="B2" s="6" t="s">
        <v>54</v>
      </c>
      <c r="C2" s="6"/>
      <c r="D2" s="6"/>
      <c r="E2" s="6"/>
    </row>
    <row r="4" customFormat="false" ht="24" hidden="false" customHeight="true" outlineLevel="0" collapsed="false">
      <c r="B4" s="10" t="s">
        <v>43</v>
      </c>
      <c r="C4" s="10" t="s">
        <v>55</v>
      </c>
      <c r="D4" s="10" t="s">
        <v>56</v>
      </c>
      <c r="E4" s="10" t="s">
        <v>57</v>
      </c>
    </row>
    <row r="5" customFormat="false" ht="19.5" hidden="false" customHeight="true" outlineLevel="0" collapsed="false">
      <c r="B5" s="11" t="n">
        <v>1</v>
      </c>
      <c r="C5" s="12" t="s">
        <v>58</v>
      </c>
      <c r="D5" s="14" t="n">
        <v>0</v>
      </c>
      <c r="E5" s="14" t="n">
        <v>0</v>
      </c>
    </row>
    <row r="6" customFormat="false" ht="19.5" hidden="false" customHeight="true" outlineLevel="0" collapsed="false">
      <c r="B6" s="16" t="n">
        <v>2</v>
      </c>
      <c r="C6" s="17" t="s">
        <v>59</v>
      </c>
      <c r="D6" s="19" t="n">
        <v>0</v>
      </c>
      <c r="E6" s="19" t="n">
        <v>0</v>
      </c>
    </row>
    <row r="7" customFormat="false" ht="19.5" hidden="false" customHeight="true" outlineLevel="0" collapsed="false">
      <c r="B7" s="11" t="n">
        <v>3</v>
      </c>
      <c r="C7" s="12" t="s">
        <v>60</v>
      </c>
      <c r="D7" s="14" t="n">
        <v>0</v>
      </c>
      <c r="E7" s="14" t="n">
        <v>0</v>
      </c>
    </row>
    <row r="8" customFormat="false" ht="19.5" hidden="false" customHeight="true" outlineLevel="0" collapsed="false">
      <c r="B8" s="16" t="n">
        <v>4</v>
      </c>
      <c r="C8" s="17" t="s">
        <v>61</v>
      </c>
      <c r="D8" s="19" t="n">
        <v>0</v>
      </c>
      <c r="E8" s="19" t="n">
        <v>0</v>
      </c>
    </row>
    <row r="9" customFormat="false" ht="19.5" hidden="false" customHeight="true" outlineLevel="0" collapsed="false">
      <c r="B9" s="11" t="n">
        <v>5</v>
      </c>
      <c r="C9" s="12" t="s">
        <v>62</v>
      </c>
      <c r="D9" s="14" t="n">
        <v>0</v>
      </c>
      <c r="E9" s="14" t="n">
        <v>0</v>
      </c>
    </row>
    <row r="10" customFormat="false" ht="19.5" hidden="false" customHeight="true" outlineLevel="0" collapsed="false">
      <c r="B10" s="16" t="n">
        <v>6</v>
      </c>
      <c r="C10" s="17" t="s">
        <v>63</v>
      </c>
      <c r="D10" s="19" t="n">
        <v>0</v>
      </c>
      <c r="E10" s="19" t="n">
        <v>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5252"/>
    <pageSetUpPr fitToPage="false"/>
  </sheetPr>
  <dimension ref="B2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6" min="5" style="0" width="22"/>
    <col collapsed="false" customWidth="true" hidden="false" outlineLevel="0" max="7" min="7" style="0" width="16"/>
  </cols>
  <sheetData>
    <row r="2" customFormat="false" ht="27.75" hidden="false" customHeight="true" outlineLevel="0" collapsed="false">
      <c r="B2" s="6" t="s">
        <v>64</v>
      </c>
      <c r="C2" s="6"/>
      <c r="D2" s="6"/>
      <c r="E2" s="6"/>
      <c r="F2" s="6"/>
      <c r="G2" s="6"/>
    </row>
    <row r="4" customFormat="false" ht="24" hidden="false" customHeight="true" outlineLevel="0" collapsed="false">
      <c r="B4" s="10" t="s">
        <v>43</v>
      </c>
      <c r="C4" s="10" t="s">
        <v>55</v>
      </c>
      <c r="D4" s="10" t="s">
        <v>65</v>
      </c>
      <c r="E4" s="10" t="s">
        <v>66</v>
      </c>
      <c r="F4" s="10" t="s">
        <v>67</v>
      </c>
      <c r="G4" s="10" t="s">
        <v>68</v>
      </c>
    </row>
    <row r="5" customFormat="false" ht="19.5" hidden="false" customHeight="true" outlineLevel="0" collapsed="false">
      <c r="B5" s="11" t="n">
        <v>1</v>
      </c>
      <c r="C5" s="12" t="s">
        <v>69</v>
      </c>
      <c r="D5" s="13" t="n">
        <v>0</v>
      </c>
      <c r="E5" s="13" t="n">
        <v>0</v>
      </c>
      <c r="F5" s="14" t="n">
        <f aca="false">D5-E5</f>
        <v>0</v>
      </c>
      <c r="G5" s="23" t="n">
        <f aca="false">IF(D5&gt;0,E5/D5,0)</f>
        <v>0</v>
      </c>
    </row>
    <row r="6" customFormat="false" ht="19.5" hidden="false" customHeight="true" outlineLevel="0" collapsed="false">
      <c r="B6" s="16" t="n">
        <v>2</v>
      </c>
      <c r="C6" s="17" t="s">
        <v>70</v>
      </c>
      <c r="D6" s="18" t="n">
        <v>0</v>
      </c>
      <c r="E6" s="18" t="n">
        <v>0</v>
      </c>
      <c r="F6" s="19" t="n">
        <f aca="false">D6-E6</f>
        <v>0</v>
      </c>
      <c r="G6" s="24" t="n">
        <f aca="false">IF(D6&gt;0,E6/D6,0)</f>
        <v>0</v>
      </c>
    </row>
    <row r="7" customFormat="false" ht="19.5" hidden="false" customHeight="true" outlineLevel="0" collapsed="false">
      <c r="B7" s="11" t="n">
        <v>3</v>
      </c>
      <c r="C7" s="12" t="s">
        <v>71</v>
      </c>
      <c r="D7" s="13" t="n">
        <v>0</v>
      </c>
      <c r="E7" s="13" t="n">
        <v>0</v>
      </c>
      <c r="F7" s="14" t="n">
        <f aca="false">D7-E7</f>
        <v>0</v>
      </c>
      <c r="G7" s="23" t="n">
        <f aca="false">IF(D7&gt;0,E7/D7,0)</f>
        <v>0</v>
      </c>
    </row>
    <row r="8" customFormat="false" ht="19.5" hidden="false" customHeight="true" outlineLevel="0" collapsed="false">
      <c r="B8" s="16" t="n">
        <v>4</v>
      </c>
      <c r="C8" s="17" t="s">
        <v>72</v>
      </c>
      <c r="D8" s="18" t="n">
        <v>0</v>
      </c>
      <c r="E8" s="18" t="n">
        <v>0</v>
      </c>
      <c r="F8" s="19" t="n">
        <f aca="false">D8-E8</f>
        <v>0</v>
      </c>
      <c r="G8" s="24" t="n">
        <f aca="false">IF(D8&gt;0,E8/D8,0)</f>
        <v>0</v>
      </c>
    </row>
    <row r="9" customFormat="false" ht="19.5" hidden="false" customHeight="true" outlineLevel="0" collapsed="false">
      <c r="B9" s="11" t="n">
        <v>5</v>
      </c>
      <c r="C9" s="12" t="s">
        <v>73</v>
      </c>
      <c r="D9" s="13" t="n">
        <v>0</v>
      </c>
      <c r="E9" s="13" t="n">
        <v>0</v>
      </c>
      <c r="F9" s="14" t="n">
        <f aca="false">D9-E9</f>
        <v>0</v>
      </c>
      <c r="G9" s="23" t="n">
        <f aca="false">IF(D9&gt;0,E9/D9,0)</f>
        <v>0</v>
      </c>
    </row>
    <row r="10" customFormat="false" ht="19.5" hidden="false" customHeight="true" outlineLevel="0" collapsed="false">
      <c r="B10" s="16" t="n">
        <v>6</v>
      </c>
      <c r="C10" s="17" t="s">
        <v>74</v>
      </c>
      <c r="D10" s="18" t="n">
        <v>0</v>
      </c>
      <c r="E10" s="18" t="n">
        <v>0</v>
      </c>
      <c r="F10" s="19" t="n">
        <f aca="false">D10-E10</f>
        <v>0</v>
      </c>
      <c r="G10" s="24" t="n">
        <f aca="false">IF(D10&gt;0,E10/D10,0)</f>
        <v>0</v>
      </c>
    </row>
    <row r="11" customFormat="false" ht="19.5" hidden="false" customHeight="true" outlineLevel="0" collapsed="false">
      <c r="B11" s="11" t="n">
        <v>7</v>
      </c>
      <c r="C11" s="12" t="s">
        <v>75</v>
      </c>
      <c r="D11" s="13" t="n">
        <v>0</v>
      </c>
      <c r="E11" s="13" t="n">
        <v>0</v>
      </c>
      <c r="F11" s="14" t="n">
        <f aca="false">D11-E11</f>
        <v>0</v>
      </c>
      <c r="G11" s="23" t="n">
        <f aca="false">IF(D11&gt;0,E11/D11,0)</f>
        <v>0</v>
      </c>
    </row>
    <row r="12" customFormat="false" ht="19.5" hidden="false" customHeight="true" outlineLevel="0" collapsed="false">
      <c r="B12" s="16" t="n">
        <v>8</v>
      </c>
      <c r="C12" s="17" t="s">
        <v>76</v>
      </c>
      <c r="D12" s="18" t="n">
        <v>0</v>
      </c>
      <c r="E12" s="18" t="n">
        <v>0</v>
      </c>
      <c r="F12" s="19" t="n">
        <f aca="false">D12-E12</f>
        <v>0</v>
      </c>
      <c r="G12" s="24" t="n">
        <f aca="false">IF(D12&gt;0,E12/D12,0)</f>
        <v>0</v>
      </c>
    </row>
    <row r="13" customFormat="false" ht="19.5" hidden="false" customHeight="true" outlineLevel="0" collapsed="false">
      <c r="B13" s="11" t="n">
        <v>9</v>
      </c>
      <c r="C13" s="12" t="s">
        <v>77</v>
      </c>
      <c r="D13" s="13" t="n">
        <v>0</v>
      </c>
      <c r="E13" s="13" t="n">
        <v>0</v>
      </c>
      <c r="F13" s="14" t="n">
        <f aca="false">D13-E13</f>
        <v>0</v>
      </c>
      <c r="G13" s="23" t="n">
        <f aca="false">IF(D13&gt;0,E13/D13,0)</f>
        <v>0</v>
      </c>
    </row>
    <row r="14" customFormat="false" ht="19.5" hidden="false" customHeight="true" outlineLevel="0" collapsed="false">
      <c r="B14" s="16" t="n">
        <v>10</v>
      </c>
      <c r="C14" s="17" t="s">
        <v>78</v>
      </c>
      <c r="D14" s="18" t="n">
        <v>0</v>
      </c>
      <c r="E14" s="18" t="n">
        <v>0</v>
      </c>
      <c r="F14" s="19" t="n">
        <f aca="false">D14-E14</f>
        <v>0</v>
      </c>
      <c r="G14" s="24" t="n">
        <f aca="false">IF(D14&gt;0,E14/D14,0)</f>
        <v>0</v>
      </c>
    </row>
    <row r="15" customFormat="false" ht="19.5" hidden="false" customHeight="true" outlineLevel="0" collapsed="false">
      <c r="B15" s="11" t="n">
        <v>11</v>
      </c>
      <c r="C15" s="12" t="s">
        <v>79</v>
      </c>
      <c r="D15" s="13" t="n">
        <v>0</v>
      </c>
      <c r="E15" s="13" t="n">
        <v>0</v>
      </c>
      <c r="F15" s="14" t="n">
        <f aca="false">D15-E15</f>
        <v>0</v>
      </c>
      <c r="G15" s="23" t="n">
        <f aca="false">IF(D15&gt;0,E15/D15,0)</f>
        <v>0</v>
      </c>
    </row>
    <row r="16" customFormat="false" ht="19.5" hidden="false" customHeight="true" outlineLevel="0" collapsed="false">
      <c r="B16" s="16" t="n">
        <v>12</v>
      </c>
      <c r="C16" s="17" t="s">
        <v>80</v>
      </c>
      <c r="D16" s="18" t="n">
        <v>0</v>
      </c>
      <c r="E16" s="18" t="n">
        <v>0</v>
      </c>
      <c r="F16" s="19" t="n">
        <f aca="false">D16-E16</f>
        <v>0</v>
      </c>
      <c r="G16" s="24" t="n">
        <f aca="false">IF(D16&gt;0,E16/D16,0)</f>
        <v>0</v>
      </c>
    </row>
    <row r="17" customFormat="false" ht="19.5" hidden="false" customHeight="true" outlineLevel="0" collapsed="false">
      <c r="B17" s="11" t="n">
        <v>13</v>
      </c>
      <c r="C17" s="12" t="s">
        <v>63</v>
      </c>
      <c r="D17" s="13" t="n">
        <v>0</v>
      </c>
      <c r="E17" s="13" t="n">
        <v>0</v>
      </c>
      <c r="F17" s="14" t="n">
        <f aca="false">D17-E17</f>
        <v>0</v>
      </c>
      <c r="G17" s="23" t="n">
        <f aca="false">IF(D17&gt;0,E17/D17,0)</f>
        <v>0</v>
      </c>
    </row>
    <row r="18" customFormat="false" ht="24" hidden="false" customHeight="true" outlineLevel="0" collapsed="false">
      <c r="B18" s="25"/>
      <c r="C18" s="26" t="s">
        <v>53</v>
      </c>
      <c r="D18" s="22" t="n">
        <f aca="false">SUM(D5:D17)</f>
        <v>0</v>
      </c>
      <c r="E18" s="22" t="n">
        <f aca="false">SUM(E5:E17)</f>
        <v>0</v>
      </c>
      <c r="F18" s="22" t="n">
        <f aca="false">D18-E18</f>
        <v>0</v>
      </c>
      <c r="G18" s="2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828"/>
    <pageSetUpPr fitToPage="false"/>
  </sheetPr>
  <dimension ref="B2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22"/>
  </cols>
  <sheetData>
    <row r="2" customFormat="false" ht="27.75" hidden="false" customHeight="true" outlineLevel="0" collapsed="false">
      <c r="B2" s="6" t="s">
        <v>81</v>
      </c>
      <c r="C2" s="6"/>
      <c r="D2" s="6"/>
      <c r="E2" s="6"/>
      <c r="F2" s="6"/>
      <c r="G2" s="6"/>
      <c r="H2" s="6"/>
      <c r="I2" s="6"/>
    </row>
    <row r="4" customFormat="false" ht="24" hidden="false" customHeight="true" outlineLevel="0" collapsed="false">
      <c r="B4" s="10" t="s">
        <v>43</v>
      </c>
      <c r="C4" s="10" t="s">
        <v>82</v>
      </c>
      <c r="D4" s="10" t="s">
        <v>83</v>
      </c>
      <c r="E4" s="10" t="s">
        <v>84</v>
      </c>
      <c r="F4" s="10"/>
      <c r="G4" s="10" t="s">
        <v>85</v>
      </c>
      <c r="H4" s="10" t="s">
        <v>55</v>
      </c>
      <c r="I4" s="10" t="s">
        <v>20</v>
      </c>
    </row>
    <row r="5" customFormat="false" ht="19.5" hidden="false" customHeight="true" outlineLevel="0" collapsed="false">
      <c r="B5" s="11" t="n">
        <v>1</v>
      </c>
      <c r="C5" s="27" t="s">
        <v>86</v>
      </c>
      <c r="D5" s="27" t="s">
        <v>87</v>
      </c>
      <c r="E5" s="28" t="n">
        <v>8000000</v>
      </c>
      <c r="F5" s="29"/>
      <c r="G5" s="30" t="s">
        <v>88</v>
      </c>
      <c r="H5" s="31" t="s">
        <v>58</v>
      </c>
      <c r="I5" s="11" t="s">
        <v>48</v>
      </c>
    </row>
    <row r="6" customFormat="false" ht="19.5" hidden="false" customHeight="true" outlineLevel="0" collapsed="false">
      <c r="B6" s="16" t="n">
        <v>2</v>
      </c>
      <c r="C6" s="32" t="s">
        <v>86</v>
      </c>
      <c r="D6" s="32" t="s">
        <v>89</v>
      </c>
      <c r="E6" s="33" t="n">
        <v>-600000</v>
      </c>
      <c r="F6" s="34"/>
      <c r="G6" s="35" t="s">
        <v>90</v>
      </c>
      <c r="H6" s="36" t="s">
        <v>69</v>
      </c>
      <c r="I6" s="16" t="s">
        <v>48</v>
      </c>
    </row>
    <row r="7" customFormat="false" ht="19.5" hidden="false" customHeight="true" outlineLevel="0" collapsed="false">
      <c r="B7" s="11" t="n">
        <v>3</v>
      </c>
      <c r="C7" s="27" t="s">
        <v>91</v>
      </c>
      <c r="D7" s="27" t="s">
        <v>92</v>
      </c>
      <c r="E7" s="37" t="n">
        <v>-45000</v>
      </c>
      <c r="F7" s="29"/>
      <c r="G7" s="38" t="s">
        <v>90</v>
      </c>
      <c r="H7" s="31" t="s">
        <v>71</v>
      </c>
      <c r="I7" s="11" t="s">
        <v>52</v>
      </c>
    </row>
    <row r="9" customFormat="false" ht="19.5" hidden="false" customHeight="true" outlineLevel="0" collapsed="false">
      <c r="B9" s="39" t="s">
        <v>93</v>
      </c>
      <c r="C9" s="39"/>
      <c r="D9" s="39"/>
      <c r="E9" s="39"/>
      <c r="F9" s="39"/>
      <c r="G9" s="39"/>
      <c r="H9" s="39"/>
      <c r="I9" s="39"/>
    </row>
  </sheetData>
  <mergeCells count="2">
    <mergeCell ref="B2:I2"/>
    <mergeCell ref="B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false"/>
  </sheetPr>
  <dimension ref="B2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22"/>
  </cols>
  <sheetData>
    <row r="2" customFormat="false" ht="27.75" hidden="false" customHeight="true" outlineLevel="0" collapsed="false">
      <c r="B2" s="6" t="s">
        <v>94</v>
      </c>
      <c r="C2" s="6"/>
      <c r="D2" s="6"/>
      <c r="E2" s="6"/>
      <c r="F2" s="6"/>
      <c r="G2" s="6"/>
      <c r="H2" s="6"/>
    </row>
    <row r="4" customFormat="false" ht="24" hidden="false" customHeight="true" outlineLevel="0" collapsed="false">
      <c r="B4" s="10" t="s">
        <v>43</v>
      </c>
      <c r="C4" s="10" t="s">
        <v>95</v>
      </c>
      <c r="D4" s="10" t="s">
        <v>96</v>
      </c>
      <c r="E4" s="10" t="s">
        <v>97</v>
      </c>
      <c r="F4" s="10" t="s">
        <v>84</v>
      </c>
      <c r="G4" s="10" t="s">
        <v>55</v>
      </c>
      <c r="H4" s="10"/>
      <c r="I4" s="10" t="s">
        <v>98</v>
      </c>
    </row>
    <row r="5" customFormat="false" ht="19.5" hidden="false" customHeight="true" outlineLevel="0" collapsed="false">
      <c r="B5" s="11" t="n">
        <v>1</v>
      </c>
      <c r="C5" s="27" t="s">
        <v>86</v>
      </c>
      <c r="D5" s="27" t="n">
        <v>2026</v>
      </c>
      <c r="E5" s="27" t="n">
        <v>4</v>
      </c>
      <c r="F5" s="40" t="n">
        <v>600000</v>
      </c>
      <c r="G5" s="27" t="s">
        <v>69</v>
      </c>
      <c r="H5" s="29"/>
      <c r="I5" s="29"/>
    </row>
    <row r="6" customFormat="false" ht="19.5" hidden="false" customHeight="true" outlineLevel="0" collapsed="false">
      <c r="B6" s="16" t="n">
        <v>2</v>
      </c>
      <c r="C6" s="32" t="s">
        <v>86</v>
      </c>
      <c r="D6" s="32" t="n">
        <v>2026</v>
      </c>
      <c r="E6" s="32" t="n">
        <v>4</v>
      </c>
      <c r="F6" s="41" t="n">
        <v>500000</v>
      </c>
      <c r="G6" s="32" t="s">
        <v>70</v>
      </c>
      <c r="H6" s="34"/>
      <c r="I6" s="34"/>
    </row>
    <row r="7" customFormat="false" ht="19.5" hidden="false" customHeight="true" outlineLevel="0" collapsed="false">
      <c r="B7" s="11" t="n">
        <v>3</v>
      </c>
      <c r="C7" s="27" t="s">
        <v>86</v>
      </c>
      <c r="D7" s="27" t="n">
        <v>2026</v>
      </c>
      <c r="E7" s="27" t="n">
        <v>4</v>
      </c>
      <c r="F7" s="40" t="n">
        <v>300000</v>
      </c>
      <c r="G7" s="27" t="s">
        <v>71</v>
      </c>
      <c r="H7" s="29"/>
      <c r="I7" s="29"/>
    </row>
    <row r="9" customFormat="false" ht="19.5" hidden="false" customHeight="true" outlineLevel="0" collapsed="false">
      <c r="B9" s="39" t="s">
        <v>99</v>
      </c>
      <c r="C9" s="39"/>
      <c r="D9" s="39"/>
      <c r="E9" s="39"/>
      <c r="F9" s="39"/>
      <c r="G9" s="39"/>
      <c r="H9" s="39"/>
      <c r="I9" s="39"/>
    </row>
  </sheetData>
  <mergeCells count="2">
    <mergeCell ref="B2:H2"/>
    <mergeCell ref="B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A5A"/>
    <pageSetUpPr fitToPage="false"/>
  </sheetPr>
  <dimension ref="B2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</cols>
  <sheetData>
    <row r="2" customFormat="false" ht="27.75" hidden="false" customHeight="true" outlineLevel="0" collapsed="false">
      <c r="B2" s="6" t="s">
        <v>100</v>
      </c>
      <c r="C2" s="6"/>
      <c r="D2" s="6"/>
    </row>
    <row r="4" customFormat="false" ht="15" hidden="false" customHeight="false" outlineLevel="0" collapsed="false">
      <c r="B4" s="26" t="s">
        <v>101</v>
      </c>
    </row>
    <row r="5" customFormat="false" ht="15" hidden="false" customHeight="false" outlineLevel="0" collapsed="false">
      <c r="B5" s="42" t="s">
        <v>78</v>
      </c>
    </row>
    <row r="6" customFormat="false" ht="15" hidden="false" customHeight="false" outlineLevel="0" collapsed="false">
      <c r="B6" s="43" t="s">
        <v>70</v>
      </c>
    </row>
    <row r="7" customFormat="false" ht="15" hidden="false" customHeight="false" outlineLevel="0" collapsed="false">
      <c r="B7" s="42" t="s">
        <v>61</v>
      </c>
    </row>
    <row r="8" customFormat="false" ht="15" hidden="false" customHeight="false" outlineLevel="0" collapsed="false">
      <c r="B8" s="43" t="s">
        <v>60</v>
      </c>
    </row>
    <row r="9" customFormat="false" ht="15" hidden="false" customHeight="false" outlineLevel="0" collapsed="false">
      <c r="B9" s="42" t="s">
        <v>58</v>
      </c>
    </row>
    <row r="10" customFormat="false" ht="15" hidden="false" customHeight="false" outlineLevel="0" collapsed="false">
      <c r="B10" s="43" t="s">
        <v>77</v>
      </c>
    </row>
    <row r="11" customFormat="false" ht="15" hidden="false" customHeight="false" outlineLevel="0" collapsed="false">
      <c r="B11" s="42" t="s">
        <v>73</v>
      </c>
    </row>
    <row r="12" customFormat="false" ht="15" hidden="false" customHeight="false" outlineLevel="0" collapsed="false">
      <c r="B12" s="43" t="s">
        <v>62</v>
      </c>
    </row>
    <row r="13" customFormat="false" ht="15" hidden="false" customHeight="false" outlineLevel="0" collapsed="false">
      <c r="B13" s="42" t="s">
        <v>76</v>
      </c>
    </row>
    <row r="14" customFormat="false" ht="15" hidden="false" customHeight="false" outlineLevel="0" collapsed="false">
      <c r="B14" s="43" t="s">
        <v>69</v>
      </c>
    </row>
    <row r="15" customFormat="false" ht="15" hidden="false" customHeight="false" outlineLevel="0" collapsed="false">
      <c r="B15" s="42" t="s">
        <v>63</v>
      </c>
    </row>
    <row r="16" customFormat="false" ht="15" hidden="false" customHeight="false" outlineLevel="0" collapsed="false">
      <c r="B16" s="43" t="s">
        <v>75</v>
      </c>
    </row>
    <row r="17" customFormat="false" ht="15" hidden="false" customHeight="false" outlineLevel="0" collapsed="false">
      <c r="B17" s="42" t="s">
        <v>71</v>
      </c>
    </row>
    <row r="18" customFormat="false" ht="15" hidden="false" customHeight="false" outlineLevel="0" collapsed="false">
      <c r="B18" s="43" t="s">
        <v>59</v>
      </c>
    </row>
    <row r="19" customFormat="false" ht="15" hidden="false" customHeight="false" outlineLevel="0" collapsed="false">
      <c r="B19" s="42" t="s">
        <v>72</v>
      </c>
    </row>
    <row r="20" customFormat="false" ht="15" hidden="false" customHeight="false" outlineLevel="0" collapsed="false">
      <c r="B20" s="43" t="s">
        <v>74</v>
      </c>
    </row>
    <row r="21" customFormat="false" ht="15" hidden="false" customHeight="false" outlineLevel="0" collapsed="false">
      <c r="B21" s="42" t="s">
        <v>79</v>
      </c>
    </row>
    <row r="22" customFormat="false" ht="15" hidden="false" customHeight="false" outlineLevel="0" collapsed="false">
      <c r="B22" s="43" t="s">
        <v>80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2026-04-23T02:31:33Z</dcterms:created>
  <dc:creator>openpyxl</dc:creator>
  <dc:description/>
  <dc:language>en-US</dc:language>
  <cp:lastModifiedBy/>
  <dcterms:modified xsi:type="dcterms:W3CDTF">2026-04-23T02:31:34Z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